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 Import Template" state="visible" r:id="rId4"/>
    <sheet sheetId="2" name="StatusMapping" state="hidden" r:id="rId5"/>
  </sheets>
  <calcPr calcId="171027"/>
</workbook>
</file>

<file path=xl/sharedStrings.xml><?xml version="1.0" encoding="utf-8"?>
<sst xmlns="http://schemas.openxmlformats.org/spreadsheetml/2006/main" count="244" uniqueCount="137">
  <si>
    <t>BOM Import Template - Updated for Full Import</t>
  </si>
  <si>
    <t>Instructions:</t>
  </si>
  <si>
    <t>1. This template is optimized for full BOM import functionality</t>
  </si>
  <si>
    <t>2. Required fields: BOM Name (maps to model), Version, Product Line (maps to product_line)</t>
  </si>
  <si>
    <t>3. All 20 sample records contain valid data for testing import</t>
  </si>
  <si>
    <t>4. ID fields are auto-generated and read-only</t>
  </si>
  <si>
    <t>Field Mapping for Import (as per importRoutes.js):</t>
  </si>
  <si>
    <t>BOM Name → model, Version → version, Product Line → product_line</t>
  </si>
  <si>
    <t>BOM ID</t>
  </si>
  <si>
    <t>BOM Name</t>
  </si>
  <si>
    <t>Part ID</t>
  </si>
  <si>
    <t>Part Name</t>
  </si>
  <si>
    <t>Quantity</t>
  </si>
  <si>
    <t>Position</t>
  </si>
  <si>
    <t>Product ID</t>
  </si>
  <si>
    <t>Product Name</t>
  </si>
  <si>
    <t>Version</t>
  </si>
  <si>
    <t>Product Line</t>
  </si>
  <si>
    <t>Status</t>
  </si>
  <si>
    <t>Actions</t>
  </si>
  <si>
    <t>BOM001</t>
  </si>
  <si>
    <t>Main Board</t>
  </si>
  <si>
    <t>PART001</t>
  </si>
  <si>
    <t>Resistor</t>
  </si>
  <si>
    <t>Top Side</t>
  </si>
  <si>
    <t>PROD001</t>
  </si>
  <si>
    <t>Smartphone</t>
  </si>
  <si>
    <t>V1.0</t>
  </si>
  <si>
    <t>Consumer Electronics</t>
  </si>
  <si>
    <t/>
  </si>
  <si>
    <t>Push</t>
  </si>
  <si>
    <t>BOM002</t>
  </si>
  <si>
    <t>Power Supply</t>
  </si>
  <si>
    <t>PART002</t>
  </si>
  <si>
    <t>Capacitor</t>
  </si>
  <si>
    <t>Bottom Side</t>
  </si>
  <si>
    <t>PROD002</t>
  </si>
  <si>
    <t>Laptop</t>
  </si>
  <si>
    <t>V2.0</t>
  </si>
  <si>
    <t>Enterprise</t>
  </si>
  <si>
    <t>Pushed</t>
  </si>
  <si>
    <t>BOM003</t>
  </si>
  <si>
    <t>CPU Module</t>
  </si>
  <si>
    <t>PART003</t>
  </si>
  <si>
    <t>IC Chip</t>
  </si>
  <si>
    <t>Internal</t>
  </si>
  <si>
    <t>PROD003</t>
  </si>
  <si>
    <t>Tablet</t>
  </si>
  <si>
    <t>V1.1</t>
  </si>
  <si>
    <t>BOM004</t>
  </si>
  <si>
    <t>Memory Module</t>
  </si>
  <si>
    <t>PART004</t>
  </si>
  <si>
    <t>Connector</t>
  </si>
  <si>
    <t>PROD004</t>
  </si>
  <si>
    <t>Server</t>
  </si>
  <si>
    <t>V3.0</t>
  </si>
  <si>
    <t>BOM005</t>
  </si>
  <si>
    <t>Storage Device</t>
  </si>
  <si>
    <t>PART005</t>
  </si>
  <si>
    <t>PCB</t>
  </si>
  <si>
    <t>PROD005</t>
  </si>
  <si>
    <t>Router</t>
  </si>
  <si>
    <t>V2.1</t>
  </si>
  <si>
    <t>Industrial</t>
  </si>
  <si>
    <t>BOM006</t>
  </si>
  <si>
    <t>Network Card</t>
  </si>
  <si>
    <t>PART006</t>
  </si>
  <si>
    <t>Transformer</t>
  </si>
  <si>
    <t>PROD006</t>
  </si>
  <si>
    <t>Switch</t>
  </si>
  <si>
    <t>V1.5</t>
  </si>
  <si>
    <t>BOM007</t>
  </si>
  <si>
    <t>Display Panel</t>
  </si>
  <si>
    <t>PART007</t>
  </si>
  <si>
    <t>PROD007</t>
  </si>
  <si>
    <t>BOM008</t>
  </si>
  <si>
    <t>Battery Pack</t>
  </si>
  <si>
    <t>PART008</t>
  </si>
  <si>
    <t>PROD008</t>
  </si>
  <si>
    <t>V1.8</t>
  </si>
  <si>
    <t>BOM009</t>
  </si>
  <si>
    <t>Camera Module</t>
  </si>
  <si>
    <t>PART009</t>
  </si>
  <si>
    <t>PROD009</t>
  </si>
  <si>
    <t>V2.2</t>
  </si>
  <si>
    <t>BOM010</t>
  </si>
  <si>
    <t>Audio System</t>
  </si>
  <si>
    <t>PART010</t>
  </si>
  <si>
    <t>PROD010</t>
  </si>
  <si>
    <t>V3.1</t>
  </si>
  <si>
    <t>BOM011</t>
  </si>
  <si>
    <t>Cooling System</t>
  </si>
  <si>
    <t>PART011</t>
  </si>
  <si>
    <t>PROD011</t>
  </si>
  <si>
    <t>V2.3</t>
  </si>
  <si>
    <t>BOM012</t>
  </si>
  <si>
    <t>Power Circuit</t>
  </si>
  <si>
    <t>PART012</t>
  </si>
  <si>
    <t>PROD012</t>
  </si>
  <si>
    <t>V1.7</t>
  </si>
  <si>
    <t>BOM013</t>
  </si>
  <si>
    <t>Sensor Array</t>
  </si>
  <si>
    <t>PART013</t>
  </si>
  <si>
    <t>PROD013</t>
  </si>
  <si>
    <t>BOM014</t>
  </si>
  <si>
    <t>I/O Interface</t>
  </si>
  <si>
    <t>PART014</t>
  </si>
  <si>
    <t>PROD014</t>
  </si>
  <si>
    <t>V1.9</t>
  </si>
  <si>
    <t>BOM015</t>
  </si>
  <si>
    <t>Wireless Module</t>
  </si>
  <si>
    <t>PART015</t>
  </si>
  <si>
    <t>PROD015</t>
  </si>
  <si>
    <t>BOM016</t>
  </si>
  <si>
    <t>Motherboard</t>
  </si>
  <si>
    <t>PART016</t>
  </si>
  <si>
    <t>PROD016</t>
  </si>
  <si>
    <t>V3.2</t>
  </si>
  <si>
    <t>BOM017</t>
  </si>
  <si>
    <t>Graphics Card</t>
  </si>
  <si>
    <t>PART017</t>
  </si>
  <si>
    <t>PROD017</t>
  </si>
  <si>
    <t>V2.4</t>
  </si>
  <si>
    <t>BOM018</t>
  </si>
  <si>
    <t>Sound Card</t>
  </si>
  <si>
    <t>PART018</t>
  </si>
  <si>
    <t>PROD018</t>
  </si>
  <si>
    <t>BOM019</t>
  </si>
  <si>
    <t>USB Controller</t>
  </si>
  <si>
    <t>PART019</t>
  </si>
  <si>
    <t>PROD019</t>
  </si>
  <si>
    <t>BOM020</t>
  </si>
  <si>
    <t>Ethernet Port</t>
  </si>
  <si>
    <t>PART020</t>
  </si>
  <si>
    <t>PROD020</t>
  </si>
  <si>
    <t>Draft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</si>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</sst>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i/>
      <color rgb="FF0000FF"/>
    </font>
  </fonts>
  <fills count="4">
    <fill>
      <patternFill patternType="none"/>
    </fill>
    <fill>
      <patternFill patternType="gray125"/>
    </fill>
    <fill>
      <patternFill patternType="solid">
        <fgColor rgb="FFE6E6FA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Protection="1"/>
    <xf numFmtId="0" fontId="0" fillId="0" borderId="0" xfId="0" applyProtection="1"/>
    <xf numFmtId="0" fontId="2" fillId="0" borderId="0" xfId="0" applyFont="1" applyProtection="1"/>
    <xf numFmtId="0" fontId="3" fillId="0" borderId="0" xfId="0" applyFont="1" applyProtection="1"/>
    <xf numFmtId="0" fontId="2" fillId="2" borderId="1" xfId="0" applyFont="1" applyFill="1" applyBorder="1" applyProtection="1"/>
    <xf numFmtId="0" fontId="0" fillId="3" borderId="1" xfId="0" applyFill="1" applyBorder="1" applyProtection="1"/>
    <xf numFmtId="0" fontId="0" fillId="0" borderId="1" xfId="0" applyBorder="1"/>
    <xf numFmtId="0" fontId="0" fillId="3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"/>
  <sheetFormatPr defaultRowHeight="15" outlineLevelRow="0" outlineLevelCol="0" x14ac:dyDescent="55"/>
  <cols>
    <col min="1" max="1" width="12" customWidth="1"/>
    <col min="2" max="2" width="15" customWidth="1"/>
    <col min="3" max="3" width="12" customWidth="1"/>
    <col min="4" max="4" width="15" customWidth="1"/>
    <col min="5" max="5" width="10" customWidth="1"/>
    <col min="6" max="7" width="12" customWidth="1"/>
    <col min="8" max="8" width="15" customWidth="1"/>
    <col min="9" max="9" width="10" customWidth="1"/>
    <col min="10" max="10" width="15" customWidth="1"/>
    <col min="11" max="12" width="12" customWidth="1"/>
  </cols>
  <sheetData>
    <row r="1" spans="1:12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25">
      <c r="A3" s="3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25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x14ac:dyDescent="0.25">
      <c r="A5" s="2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x14ac:dyDescent="0.25">
      <c r="A6" s="2" t="s">
        <v>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x14ac:dyDescent="0.25">
      <c r="A7" s="2" t="s">
        <v>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25">
      <c r="A8" s="3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25">
      <c r="A9" s="4" t="s">
        <v>7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x14ac:dyDescent="0.25">
      <c r="A10" s="5" t="s">
        <v>8</v>
      </c>
      <c r="B10" s="5" t="s">
        <v>9</v>
      </c>
      <c r="C10" s="5" t="s">
        <v>10</v>
      </c>
      <c r="D10" s="5" t="s">
        <v>11</v>
      </c>
      <c r="E10" s="5" t="s">
        <v>12</v>
      </c>
      <c r="F10" s="5" t="s">
        <v>13</v>
      </c>
      <c r="G10" s="5" t="s">
        <v>14</v>
      </c>
      <c r="H10" s="5" t="s">
        <v>15</v>
      </c>
      <c r="I10" s="5" t="s">
        <v>16</v>
      </c>
      <c r="J10" s="5" t="s">
        <v>17</v>
      </c>
      <c r="K10" s="5" t="s">
        <v>18</v>
      </c>
      <c r="L10" s="5" t="s">
        <v>19</v>
      </c>
    </row>
    <row r="11" spans="1:12" x14ac:dyDescent="0.25">
      <c r="A11" s="6" t="s">
        <v>20</v>
      </c>
      <c r="B11" s="7" t="s">
        <v>21</v>
      </c>
      <c r="C11" s="6" t="s">
        <v>22</v>
      </c>
      <c r="D11" s="7" t="s">
        <v>23</v>
      </c>
      <c r="E11" s="7">
        <v>10</v>
      </c>
      <c r="F11" s="7" t="s">
        <v>24</v>
      </c>
      <c r="G11" s="6" t="s">
        <v>25</v>
      </c>
      <c r="H11" s="7" t="s">
        <v>26</v>
      </c>
      <c r="I11" s="7" t="s">
        <v>27</v>
      </c>
      <c r="J11" s="7" t="s">
        <v>28</v>
      </c>
      <c r="K11" s="6" t="s">
        <v>29</v>
      </c>
      <c r="L11" s="7" t="s">
        <v>30</v>
      </c>
    </row>
    <row r="12" spans="1:12" x14ac:dyDescent="0.25">
      <c r="A12" s="6" t="s">
        <v>31</v>
      </c>
      <c r="B12" s="7" t="s">
        <v>32</v>
      </c>
      <c r="C12" s="6" t="s">
        <v>33</v>
      </c>
      <c r="D12" s="7" t="s">
        <v>34</v>
      </c>
      <c r="E12" s="7">
        <v>5</v>
      </c>
      <c r="F12" s="7" t="s">
        <v>35</v>
      </c>
      <c r="G12" s="6" t="s">
        <v>36</v>
      </c>
      <c r="H12" s="7" t="s">
        <v>37</v>
      </c>
      <c r="I12" s="7" t="s">
        <v>38</v>
      </c>
      <c r="J12" s="7" t="s">
        <v>39</v>
      </c>
      <c r="K12" s="6" t="s">
        <v>29</v>
      </c>
      <c r="L12" s="7" t="s">
        <v>40</v>
      </c>
    </row>
    <row r="13" spans="1:12" x14ac:dyDescent="0.25">
      <c r="A13" s="6" t="s">
        <v>41</v>
      </c>
      <c r="B13" s="7" t="s">
        <v>42</v>
      </c>
      <c r="C13" s="6" t="s">
        <v>43</v>
      </c>
      <c r="D13" s="7" t="s">
        <v>44</v>
      </c>
      <c r="E13" s="7">
        <v>1</v>
      </c>
      <c r="F13" s="7" t="s">
        <v>45</v>
      </c>
      <c r="G13" s="6" t="s">
        <v>46</v>
      </c>
      <c r="H13" s="7" t="s">
        <v>47</v>
      </c>
      <c r="I13" s="7" t="s">
        <v>48</v>
      </c>
      <c r="J13" s="7" t="s">
        <v>28</v>
      </c>
      <c r="K13" s="6" t="s">
        <v>29</v>
      </c>
      <c r="L13" s="7" t="s">
        <v>30</v>
      </c>
    </row>
    <row r="14" spans="1:12" x14ac:dyDescent="0.25">
      <c r="A14" s="6" t="s">
        <v>49</v>
      </c>
      <c r="B14" s="7" t="s">
        <v>50</v>
      </c>
      <c r="C14" s="6" t="s">
        <v>51</v>
      </c>
      <c r="D14" s="7" t="s">
        <v>52</v>
      </c>
      <c r="E14" s="7">
        <v>8</v>
      </c>
      <c r="F14" s="7" t="s">
        <v>24</v>
      </c>
      <c r="G14" s="6" t="s">
        <v>53</v>
      </c>
      <c r="H14" s="7" t="s">
        <v>54</v>
      </c>
      <c r="I14" s="7" t="s">
        <v>55</v>
      </c>
      <c r="J14" s="7" t="s">
        <v>39</v>
      </c>
      <c r="K14" s="6" t="s">
        <v>29</v>
      </c>
      <c r="L14" s="7" t="s">
        <v>40</v>
      </c>
    </row>
    <row r="15" spans="1:12" x14ac:dyDescent="0.25">
      <c r="A15" s="6" t="s">
        <v>56</v>
      </c>
      <c r="B15" s="7" t="s">
        <v>57</v>
      </c>
      <c r="C15" s="6" t="s">
        <v>58</v>
      </c>
      <c r="D15" s="7" t="s">
        <v>59</v>
      </c>
      <c r="E15" s="7">
        <v>2</v>
      </c>
      <c r="F15" s="7" t="s">
        <v>35</v>
      </c>
      <c r="G15" s="6" t="s">
        <v>60</v>
      </c>
      <c r="H15" s="7" t="s">
        <v>61</v>
      </c>
      <c r="I15" s="7" t="s">
        <v>62</v>
      </c>
      <c r="J15" s="7" t="s">
        <v>63</v>
      </c>
      <c r="K15" s="6" t="s">
        <v>29</v>
      </c>
      <c r="L15" s="7" t="s">
        <v>30</v>
      </c>
    </row>
    <row r="16" spans="1:12" x14ac:dyDescent="0.25">
      <c r="A16" s="6" t="s">
        <v>64</v>
      </c>
      <c r="B16" s="7" t="s">
        <v>65</v>
      </c>
      <c r="C16" s="6" t="s">
        <v>66</v>
      </c>
      <c r="D16" s="7" t="s">
        <v>67</v>
      </c>
      <c r="E16" s="7">
        <v>1</v>
      </c>
      <c r="F16" s="7" t="s">
        <v>45</v>
      </c>
      <c r="G16" s="6" t="s">
        <v>68</v>
      </c>
      <c r="H16" s="7" t="s">
        <v>69</v>
      </c>
      <c r="I16" s="7" t="s">
        <v>70</v>
      </c>
      <c r="J16" s="7" t="s">
        <v>39</v>
      </c>
      <c r="K16" s="6" t="s">
        <v>29</v>
      </c>
      <c r="L16" s="7" t="s">
        <v>40</v>
      </c>
    </row>
    <row r="17" spans="1:12" x14ac:dyDescent="0.25">
      <c r="A17" s="6" t="s">
        <v>71</v>
      </c>
      <c r="B17" s="7" t="s">
        <v>72</v>
      </c>
      <c r="C17" s="6" t="s">
        <v>73</v>
      </c>
      <c r="D17" s="7" t="s">
        <v>23</v>
      </c>
      <c r="E17" s="7">
        <v>15</v>
      </c>
      <c r="F17" s="7" t="s">
        <v>24</v>
      </c>
      <c r="G17" s="6" t="s">
        <v>74</v>
      </c>
      <c r="H17" s="7" t="s">
        <v>26</v>
      </c>
      <c r="I17" s="7" t="s">
        <v>38</v>
      </c>
      <c r="J17" s="7" t="s">
        <v>28</v>
      </c>
      <c r="K17" s="6" t="s">
        <v>29</v>
      </c>
      <c r="L17" s="7" t="s">
        <v>30</v>
      </c>
    </row>
    <row r="18" spans="1:12" x14ac:dyDescent="0.25">
      <c r="A18" s="6" t="s">
        <v>75</v>
      </c>
      <c r="B18" s="7" t="s">
        <v>76</v>
      </c>
      <c r="C18" s="6" t="s">
        <v>77</v>
      </c>
      <c r="D18" s="7" t="s">
        <v>34</v>
      </c>
      <c r="E18" s="7">
        <v>3</v>
      </c>
      <c r="F18" s="7" t="s">
        <v>35</v>
      </c>
      <c r="G18" s="6" t="s">
        <v>78</v>
      </c>
      <c r="H18" s="7" t="s">
        <v>37</v>
      </c>
      <c r="I18" s="7" t="s">
        <v>79</v>
      </c>
      <c r="J18" s="7" t="s">
        <v>28</v>
      </c>
      <c r="K18" s="6" t="s">
        <v>29</v>
      </c>
      <c r="L18" s="7" t="s">
        <v>40</v>
      </c>
    </row>
    <row r="19" spans="1:12" x14ac:dyDescent="0.25">
      <c r="A19" s="6" t="s">
        <v>80</v>
      </c>
      <c r="B19" s="7" t="s">
        <v>81</v>
      </c>
      <c r="C19" s="6" t="s">
        <v>82</v>
      </c>
      <c r="D19" s="7" t="s">
        <v>44</v>
      </c>
      <c r="E19" s="7">
        <v>2</v>
      </c>
      <c r="F19" s="7" t="s">
        <v>45</v>
      </c>
      <c r="G19" s="6" t="s">
        <v>83</v>
      </c>
      <c r="H19" s="7" t="s">
        <v>47</v>
      </c>
      <c r="I19" s="7" t="s">
        <v>84</v>
      </c>
      <c r="J19" s="7" t="s">
        <v>28</v>
      </c>
      <c r="K19" s="6" t="s">
        <v>29</v>
      </c>
      <c r="L19" s="7" t="s">
        <v>30</v>
      </c>
    </row>
    <row r="20" spans="1:12" x14ac:dyDescent="0.25">
      <c r="A20" s="6" t="s">
        <v>85</v>
      </c>
      <c r="B20" s="7" t="s">
        <v>86</v>
      </c>
      <c r="C20" s="6" t="s">
        <v>87</v>
      </c>
      <c r="D20" s="7" t="s">
        <v>52</v>
      </c>
      <c r="E20" s="7">
        <v>6</v>
      </c>
      <c r="F20" s="7" t="s">
        <v>24</v>
      </c>
      <c r="G20" s="6" t="s">
        <v>88</v>
      </c>
      <c r="H20" s="7" t="s">
        <v>54</v>
      </c>
      <c r="I20" s="7" t="s">
        <v>89</v>
      </c>
      <c r="J20" s="7" t="s">
        <v>39</v>
      </c>
      <c r="K20" s="6" t="s">
        <v>29</v>
      </c>
      <c r="L20" s="7" t="s">
        <v>40</v>
      </c>
    </row>
    <row r="21" spans="1:12" x14ac:dyDescent="0.25">
      <c r="A21" s="6" t="s">
        <v>90</v>
      </c>
      <c r="B21" s="7" t="s">
        <v>91</v>
      </c>
      <c r="C21" s="6" t="s">
        <v>92</v>
      </c>
      <c r="D21" s="7" t="s">
        <v>59</v>
      </c>
      <c r="E21" s="7">
        <v>4</v>
      </c>
      <c r="F21" s="7" t="s">
        <v>35</v>
      </c>
      <c r="G21" s="6" t="s">
        <v>93</v>
      </c>
      <c r="H21" s="7" t="s">
        <v>61</v>
      </c>
      <c r="I21" s="7" t="s">
        <v>94</v>
      </c>
      <c r="J21" s="7" t="s">
        <v>63</v>
      </c>
      <c r="K21" s="6" t="s">
        <v>29</v>
      </c>
      <c r="L21" s="7" t="s">
        <v>30</v>
      </c>
    </row>
    <row r="22" spans="1:12" x14ac:dyDescent="0.25">
      <c r="A22" s="6" t="s">
        <v>95</v>
      </c>
      <c r="B22" s="7" t="s">
        <v>96</v>
      </c>
      <c r="C22" s="6" t="s">
        <v>97</v>
      </c>
      <c r="D22" s="7" t="s">
        <v>67</v>
      </c>
      <c r="E22" s="7">
        <v>2</v>
      </c>
      <c r="F22" s="7" t="s">
        <v>45</v>
      </c>
      <c r="G22" s="6" t="s">
        <v>98</v>
      </c>
      <c r="H22" s="7" t="s">
        <v>69</v>
      </c>
      <c r="I22" s="7" t="s">
        <v>99</v>
      </c>
      <c r="J22" s="7" t="s">
        <v>39</v>
      </c>
      <c r="K22" s="6" t="s">
        <v>29</v>
      </c>
      <c r="L22" s="7" t="s">
        <v>40</v>
      </c>
    </row>
    <row r="23" spans="1:12" x14ac:dyDescent="0.25">
      <c r="A23" s="6" t="s">
        <v>100</v>
      </c>
      <c r="B23" s="7" t="s">
        <v>101</v>
      </c>
      <c r="C23" s="6" t="s">
        <v>102</v>
      </c>
      <c r="D23" s="7" t="s">
        <v>23</v>
      </c>
      <c r="E23" s="7">
        <v>12</v>
      </c>
      <c r="F23" s="7" t="s">
        <v>24</v>
      </c>
      <c r="G23" s="6" t="s">
        <v>103</v>
      </c>
      <c r="H23" s="7" t="s">
        <v>26</v>
      </c>
      <c r="I23" s="7" t="s">
        <v>62</v>
      </c>
      <c r="J23" s="7" t="s">
        <v>28</v>
      </c>
      <c r="K23" s="6" t="s">
        <v>29</v>
      </c>
      <c r="L23" s="7" t="s">
        <v>30</v>
      </c>
    </row>
    <row r="24" spans="1:12" x14ac:dyDescent="0.25">
      <c r="A24" s="6" t="s">
        <v>104</v>
      </c>
      <c r="B24" s="7" t="s">
        <v>105</v>
      </c>
      <c r="C24" s="6" t="s">
        <v>106</v>
      </c>
      <c r="D24" s="7" t="s">
        <v>34</v>
      </c>
      <c r="E24" s="7">
        <v>7</v>
      </c>
      <c r="F24" s="7" t="s">
        <v>35</v>
      </c>
      <c r="G24" s="6" t="s">
        <v>107</v>
      </c>
      <c r="H24" s="7" t="s">
        <v>37</v>
      </c>
      <c r="I24" s="7" t="s">
        <v>108</v>
      </c>
      <c r="J24" s="7" t="s">
        <v>28</v>
      </c>
      <c r="K24" s="6" t="s">
        <v>29</v>
      </c>
      <c r="L24" s="7" t="s">
        <v>40</v>
      </c>
    </row>
    <row r="25" spans="1:12" x14ac:dyDescent="0.25">
      <c r="A25" s="6" t="s">
        <v>109</v>
      </c>
      <c r="B25" s="7" t="s">
        <v>110</v>
      </c>
      <c r="C25" s="6" t="s">
        <v>111</v>
      </c>
      <c r="D25" s="7" t="s">
        <v>44</v>
      </c>
      <c r="E25" s="7">
        <v>1</v>
      </c>
      <c r="F25" s="7" t="s">
        <v>45</v>
      </c>
      <c r="G25" s="6" t="s">
        <v>112</v>
      </c>
      <c r="H25" s="7" t="s">
        <v>47</v>
      </c>
      <c r="I25" s="7" t="s">
        <v>94</v>
      </c>
      <c r="J25" s="7" t="s">
        <v>28</v>
      </c>
      <c r="K25" s="6" t="s">
        <v>29</v>
      </c>
      <c r="L25" s="7" t="s">
        <v>30</v>
      </c>
    </row>
    <row r="26" spans="1:12" x14ac:dyDescent="0.25">
      <c r="A26" s="6" t="s">
        <v>113</v>
      </c>
      <c r="B26" s="7" t="s">
        <v>114</v>
      </c>
      <c r="C26" s="6" t="s">
        <v>115</v>
      </c>
      <c r="D26" s="7" t="s">
        <v>52</v>
      </c>
      <c r="E26" s="7">
        <v>9</v>
      </c>
      <c r="F26" s="7" t="s">
        <v>24</v>
      </c>
      <c r="G26" s="6" t="s">
        <v>116</v>
      </c>
      <c r="H26" s="7" t="s">
        <v>54</v>
      </c>
      <c r="I26" s="7" t="s">
        <v>117</v>
      </c>
      <c r="J26" s="7" t="s">
        <v>39</v>
      </c>
      <c r="K26" s="6" t="s">
        <v>29</v>
      </c>
      <c r="L26" s="7" t="s">
        <v>40</v>
      </c>
    </row>
    <row r="27" spans="1:12" x14ac:dyDescent="0.25">
      <c r="A27" s="6" t="s">
        <v>118</v>
      </c>
      <c r="B27" s="7" t="s">
        <v>119</v>
      </c>
      <c r="C27" s="6" t="s">
        <v>120</v>
      </c>
      <c r="D27" s="7" t="s">
        <v>59</v>
      </c>
      <c r="E27" s="7">
        <v>1</v>
      </c>
      <c r="F27" s="7" t="s">
        <v>35</v>
      </c>
      <c r="G27" s="6" t="s">
        <v>121</v>
      </c>
      <c r="H27" s="7" t="s">
        <v>61</v>
      </c>
      <c r="I27" s="7" t="s">
        <v>122</v>
      </c>
      <c r="J27" s="7" t="s">
        <v>63</v>
      </c>
      <c r="K27" s="6" t="s">
        <v>29</v>
      </c>
      <c r="L27" s="7" t="s">
        <v>30</v>
      </c>
    </row>
    <row r="28" spans="1:12" x14ac:dyDescent="0.25">
      <c r="A28" s="6" t="s">
        <v>123</v>
      </c>
      <c r="B28" s="7" t="s">
        <v>124</v>
      </c>
      <c r="C28" s="6" t="s">
        <v>125</v>
      </c>
      <c r="D28" s="7" t="s">
        <v>67</v>
      </c>
      <c r="E28" s="7">
        <v>1</v>
      </c>
      <c r="F28" s="7" t="s">
        <v>45</v>
      </c>
      <c r="G28" s="6" t="s">
        <v>126</v>
      </c>
      <c r="H28" s="7" t="s">
        <v>69</v>
      </c>
      <c r="I28" s="7" t="s">
        <v>79</v>
      </c>
      <c r="J28" s="7" t="s">
        <v>39</v>
      </c>
      <c r="K28" s="6" t="s">
        <v>29</v>
      </c>
      <c r="L28" s="7" t="s">
        <v>40</v>
      </c>
    </row>
    <row r="29" spans="1:12" x14ac:dyDescent="0.25">
      <c r="A29" s="6" t="s">
        <v>127</v>
      </c>
      <c r="B29" s="7" t="s">
        <v>128</v>
      </c>
      <c r="C29" s="6" t="s">
        <v>129</v>
      </c>
      <c r="D29" s="7" t="s">
        <v>23</v>
      </c>
      <c r="E29" s="7">
        <v>8</v>
      </c>
      <c r="F29" s="7" t="s">
        <v>24</v>
      </c>
      <c r="G29" s="6" t="s">
        <v>130</v>
      </c>
      <c r="H29" s="7" t="s">
        <v>26</v>
      </c>
      <c r="I29" s="7" t="s">
        <v>84</v>
      </c>
      <c r="J29" s="7" t="s">
        <v>28</v>
      </c>
      <c r="K29" s="6" t="s">
        <v>29</v>
      </c>
      <c r="L29" s="7" t="s">
        <v>30</v>
      </c>
    </row>
    <row r="30" spans="1:12" x14ac:dyDescent="0.25">
      <c r="A30" s="6" t="s">
        <v>131</v>
      </c>
      <c r="B30" s="7" t="s">
        <v>132</v>
      </c>
      <c r="C30" s="6" t="s">
        <v>133</v>
      </c>
      <c r="D30" s="7" t="s">
        <v>34</v>
      </c>
      <c r="E30" s="7">
        <v>4</v>
      </c>
      <c r="F30" s="7" t="s">
        <v>35</v>
      </c>
      <c r="G30" s="6" t="s">
        <v>134</v>
      </c>
      <c r="H30" s="7" t="s">
        <v>37</v>
      </c>
      <c r="I30" s="7" t="s">
        <v>38</v>
      </c>
      <c r="J30" s="7" t="s">
        <v>28</v>
      </c>
      <c r="K30" s="6" t="s">
        <v>29</v>
      </c>
      <c r="L30" s="7" t="s">
        <v>40</v>
      </c>
    </row>
    <row r="31" spans="1:11" x14ac:dyDescent="0.25">
      <c r="A31" s="8"/>
      <c r="C31" s="8"/>
      <c r="G31" s="8"/>
      <c r="K31" s="8">
        <f>IF(L31="","",VLOOKUP(L31,StatusMapping!A:B,2,FALSE))</f>
      </c>
    </row>
    <row r="32" spans="1:11" x14ac:dyDescent="0.25">
      <c r="A32" s="8"/>
      <c r="C32" s="8"/>
      <c r="G32" s="8"/>
      <c r="K32" s="8">
        <f>IF(L32="","",VLOOKUP(L32,StatusMapping!A:B,2,FALSE))</f>
      </c>
    </row>
    <row r="33" spans="1:11" x14ac:dyDescent="0.25">
      <c r="A33" s="8"/>
      <c r="C33" s="8"/>
      <c r="G33" s="8"/>
      <c r="K33" s="8">
        <f>IF(L33="","",VLOOKUP(L33,StatusMapping!A:B,2,FALSE))</f>
      </c>
    </row>
    <row r="34" spans="1:11" x14ac:dyDescent="0.25">
      <c r="A34" s="8"/>
      <c r="C34" s="8"/>
      <c r="G34" s="8"/>
      <c r="K34" s="8">
        <f>IF(L34="","",VLOOKUP(L34,StatusMapping!A:B,2,FALSE))</f>
      </c>
    </row>
    <row r="35" spans="1:11" x14ac:dyDescent="0.25">
      <c r="A35" s="8"/>
      <c r="C35" s="8"/>
      <c r="G35" s="8"/>
      <c r="K35" s="8">
        <f>IF(L35="","",VLOOKUP(L35,StatusMapping!A:B,2,FALSE))</f>
      </c>
    </row>
    <row r="36" spans="1:11" x14ac:dyDescent="0.25">
      <c r="A36" s="8"/>
      <c r="C36" s="8"/>
      <c r="G36" s="8"/>
      <c r="K36" s="8">
        <f>IF(L36="","",VLOOKUP(L36,StatusMapping!A:B,2,FALSE))</f>
      </c>
    </row>
    <row r="37" spans="1:11" x14ac:dyDescent="0.25">
      <c r="A37" s="8"/>
      <c r="C37" s="8"/>
      <c r="G37" s="8"/>
      <c r="K37" s="8">
        <f>IF(L37="","",VLOOKUP(L37,StatusMapping!A:B,2,FALSE))</f>
      </c>
    </row>
    <row r="38" spans="1:11" x14ac:dyDescent="0.25">
      <c r="A38" s="8"/>
      <c r="C38" s="8"/>
      <c r="G38" s="8"/>
      <c r="K38" s="8">
        <f>IF(L38="","",VLOOKUP(L38,StatusMapping!A:B,2,FALSE))</f>
      </c>
    </row>
    <row r="39" spans="1:11" x14ac:dyDescent="0.25">
      <c r="A39" s="8"/>
      <c r="C39" s="8"/>
      <c r="G39" s="8"/>
      <c r="K39" s="8">
        <f>IF(L39="","",VLOOKUP(L39,StatusMapping!A:B,2,FALSE))</f>
      </c>
    </row>
    <row r="40" spans="1:11" x14ac:dyDescent="0.25">
      <c r="A40" s="8"/>
      <c r="C40" s="8"/>
      <c r="G40" s="8"/>
      <c r="K40" s="8">
        <f>IF(L40="","",VLOOKUP(L40,StatusMapping!A:B,2,FALSE))</f>
      </c>
    </row>
    <row r="41" spans="1:11" x14ac:dyDescent="0.25">
      <c r="A41" s="8"/>
      <c r="C41" s="8"/>
      <c r="G41" s="8"/>
      <c r="K41" s="8">
        <f>IF(L41="","",VLOOKUP(L41,StatusMapping!A:B,2,FALSE))</f>
      </c>
    </row>
    <row r="42" spans="1:11" x14ac:dyDescent="0.25">
      <c r="A42" s="8"/>
      <c r="C42" s="8"/>
      <c r="G42" s="8"/>
      <c r="K42" s="8">
        <f>IF(L42="","",VLOOKUP(L42,StatusMapping!A:B,2,FALSE))</f>
      </c>
    </row>
    <row r="43" spans="1:11" x14ac:dyDescent="0.25">
      <c r="A43" s="8"/>
      <c r="C43" s="8"/>
      <c r="G43" s="8"/>
      <c r="K43" s="8">
        <f>IF(L43="","",VLOOKUP(L43,StatusMapping!A:B,2,FALSE))</f>
      </c>
    </row>
    <row r="44" spans="1:11" x14ac:dyDescent="0.25">
      <c r="A44" s="8"/>
      <c r="C44" s="8"/>
      <c r="G44" s="8"/>
      <c r="K44" s="8">
        <f>IF(L44="","",VLOOKUP(L44,StatusMapping!A:B,2,FALSE))</f>
      </c>
    </row>
    <row r="45" spans="1:11" x14ac:dyDescent="0.25">
      <c r="A45" s="8"/>
      <c r="C45" s="8"/>
      <c r="G45" s="8"/>
      <c r="K45" s="8">
        <f>IF(L45="","",VLOOKUP(L45,StatusMapping!A:B,2,FALSE))</f>
      </c>
    </row>
    <row r="46" spans="1:11" x14ac:dyDescent="0.25">
      <c r="A46" s="8"/>
      <c r="C46" s="8"/>
      <c r="G46" s="8"/>
      <c r="K46" s="8">
        <f>IF(L46="","",VLOOKUP(L46,StatusMapping!A:B,2,FALSE))</f>
      </c>
    </row>
    <row r="47" spans="1:11" x14ac:dyDescent="0.25">
      <c r="A47" s="8"/>
      <c r="C47" s="8"/>
      <c r="G47" s="8"/>
      <c r="K47" s="8">
        <f>IF(L47="","",VLOOKUP(L47,StatusMapping!A:B,2,FALSE))</f>
      </c>
    </row>
    <row r="48" spans="1:11" x14ac:dyDescent="0.25">
      <c r="A48" s="8"/>
      <c r="C48" s="8"/>
      <c r="G48" s="8"/>
      <c r="K48" s="8">
        <f>IF(L48="","",VLOOKUP(L48,StatusMapping!A:B,2,FALSE))</f>
      </c>
    </row>
    <row r="49" spans="1:11" x14ac:dyDescent="0.25">
      <c r="A49" s="8"/>
      <c r="C49" s="8"/>
      <c r="G49" s="8"/>
      <c r="K49" s="8">
        <f>IF(L49="","",VLOOKUP(L49,StatusMapping!A:B,2,FALSE))</f>
      </c>
    </row>
    <row r="50" spans="1:11" x14ac:dyDescent="0.25">
      <c r="A50" s="8"/>
      <c r="C50" s="8"/>
      <c r="G50" s="8"/>
      <c r="K50" s="8">
        <f>IF(L50="","",VLOOKUP(L50,StatusMapping!A:B,2,FALSE))</f>
      </c>
    </row>
    <row r="51" spans="1:11" x14ac:dyDescent="0.25">
      <c r="A51" s="8"/>
      <c r="C51" s="8"/>
      <c r="G51" s="8"/>
      <c r="K51" s="8">
        <f>IF(L51="","",VLOOKUP(L51,StatusMapping!A:B,2,FALSE))</f>
      </c>
    </row>
    <row r="52" spans="1:11" x14ac:dyDescent="0.25">
      <c r="A52" s="8"/>
      <c r="C52" s="8"/>
      <c r="G52" s="8"/>
      <c r="K52" s="8">
        <f>IF(L52="","",VLOOKUP(L52,StatusMapping!A:B,2,FALSE))</f>
      </c>
    </row>
    <row r="53" spans="1:11" x14ac:dyDescent="0.25">
      <c r="A53" s="8"/>
      <c r="C53" s="8"/>
      <c r="G53" s="8"/>
      <c r="K53" s="8">
        <f>IF(L53="","",VLOOKUP(L53,StatusMapping!A:B,2,FALSE))</f>
      </c>
    </row>
    <row r="54" spans="1:11" x14ac:dyDescent="0.25">
      <c r="A54" s="8"/>
      <c r="C54" s="8"/>
      <c r="G54" s="8"/>
      <c r="K54" s="8">
        <f>IF(L54="","",VLOOKUP(L54,StatusMapping!A:B,2,FALSE))</f>
      </c>
    </row>
    <row r="55" spans="1:11" x14ac:dyDescent="0.25">
      <c r="A55" s="8"/>
      <c r="C55" s="8"/>
      <c r="G55" s="8"/>
      <c r="K55" s="8">
        <f>IF(L55="","",VLOOKUP(L55,StatusMapping!A:B,2,FALSE))</f>
      </c>
    </row>
    <row r="56" spans="1:11" x14ac:dyDescent="0.25">
      <c r="A56" s="8"/>
      <c r="C56" s="8"/>
      <c r="G56" s="8"/>
      <c r="K56" s="8">
        <f>IF(L56="","",VLOOKUP(L56,StatusMapping!A:B,2,FALSE))</f>
      </c>
    </row>
    <row r="57" spans="1:11" x14ac:dyDescent="0.25">
      <c r="A57" s="8"/>
      <c r="C57" s="8"/>
      <c r="G57" s="8"/>
      <c r="K57" s="8">
        <f>IF(L57="","",VLOOKUP(L57,StatusMapping!A:B,2,FALSE))</f>
      </c>
    </row>
    <row r="58" spans="1:11" x14ac:dyDescent="0.25">
      <c r="A58" s="8"/>
      <c r="C58" s="8"/>
      <c r="G58" s="8"/>
      <c r="K58" s="8">
        <f>IF(L58="","",VLOOKUP(L58,StatusMapping!A:B,2,FALSE))</f>
      </c>
    </row>
    <row r="59" spans="1:11" x14ac:dyDescent="0.25">
      <c r="A59" s="8"/>
      <c r="C59" s="8"/>
      <c r="G59" s="8"/>
      <c r="K59" s="8">
        <f>IF(L59="","",VLOOKUP(L59,StatusMapping!A:B,2,FALSE))</f>
      </c>
    </row>
    <row r="60" spans="1:11" x14ac:dyDescent="0.25">
      <c r="A60" s="8"/>
      <c r="C60" s="8"/>
      <c r="G60" s="8"/>
      <c r="K60" s="8">
        <f>IF(L60="","",VLOOKUP(L60,StatusMapping!A:B,2,FALSE))</f>
      </c>
    </row>
    <row r="61" spans="1:11" x14ac:dyDescent="0.25">
      <c r="A61" s="8"/>
      <c r="C61" s="8"/>
      <c r="G61" s="8"/>
      <c r="K61" s="8">
        <f>IF(L61="","",VLOOKUP(L61,StatusMapping!A:B,2,FALSE))</f>
      </c>
    </row>
    <row r="62" spans="1:11" x14ac:dyDescent="0.25">
      <c r="A62" s="8"/>
      <c r="C62" s="8"/>
      <c r="G62" s="8"/>
      <c r="K62" s="8">
        <f>IF(L62="","",VLOOKUP(L62,StatusMapping!A:B,2,FALSE))</f>
      </c>
    </row>
    <row r="63" spans="1:11" x14ac:dyDescent="0.25">
      <c r="A63" s="8"/>
      <c r="C63" s="8"/>
      <c r="G63" s="8"/>
      <c r="K63" s="8">
        <f>IF(L63="","",VLOOKUP(L63,StatusMapping!A:B,2,FALSE))</f>
      </c>
    </row>
    <row r="64" spans="1:11" x14ac:dyDescent="0.25">
      <c r="A64" s="8"/>
      <c r="C64" s="8"/>
      <c r="G64" s="8"/>
      <c r="K64" s="8">
        <f>IF(L64="","",VLOOKUP(L64,StatusMapping!A:B,2,FALSE))</f>
      </c>
    </row>
    <row r="65" spans="1:11" x14ac:dyDescent="0.25">
      <c r="A65" s="8"/>
      <c r="C65" s="8"/>
      <c r="G65" s="8"/>
      <c r="K65" s="8">
        <f>IF(L65="","",VLOOKUP(L65,StatusMapping!A:B,2,FALSE))</f>
      </c>
    </row>
    <row r="66" spans="1:11" x14ac:dyDescent="0.25">
      <c r="A66" s="8"/>
      <c r="C66" s="8"/>
      <c r="G66" s="8"/>
      <c r="K66" s="8">
        <f>IF(L66="","",VLOOKUP(L66,StatusMapping!A:B,2,FALSE))</f>
      </c>
    </row>
    <row r="67" spans="1:11" x14ac:dyDescent="0.25">
      <c r="A67" s="8"/>
      <c r="C67" s="8"/>
      <c r="G67" s="8"/>
      <c r="K67" s="8">
        <f>IF(L67="","",VLOOKUP(L67,StatusMapping!A:B,2,FALSE))</f>
      </c>
    </row>
    <row r="68" spans="1:11" x14ac:dyDescent="0.25">
      <c r="A68" s="8"/>
      <c r="C68" s="8"/>
      <c r="G68" s="8"/>
      <c r="K68" s="8">
        <f>IF(L68="","",VLOOKUP(L68,StatusMapping!A:B,2,FALSE))</f>
      </c>
    </row>
    <row r="69" spans="1:11" x14ac:dyDescent="0.25">
      <c r="A69" s="8"/>
      <c r="C69" s="8"/>
      <c r="G69" s="8"/>
      <c r="K69" s="8">
        <f>IF(L69="","",VLOOKUP(L69,StatusMapping!A:B,2,FALSE))</f>
      </c>
    </row>
    <row r="70" spans="1:11" x14ac:dyDescent="0.25">
      <c r="A70" s="8"/>
      <c r="C70" s="8"/>
      <c r="G70" s="8"/>
      <c r="K70" s="8">
        <f>IF(L70="","",VLOOKUP(L70,StatusMapping!A:B,2,FALSE))</f>
      </c>
    </row>
    <row r="71" spans="1:11" x14ac:dyDescent="0.25">
      <c r="A71" s="8"/>
      <c r="C71" s="8"/>
      <c r="G71" s="8"/>
      <c r="K71" s="8">
        <f>IF(L71="","",VLOOKUP(L71,StatusMapping!A:B,2,FALSE))</f>
      </c>
    </row>
    <row r="72" spans="1:11" x14ac:dyDescent="0.25">
      <c r="A72" s="8"/>
      <c r="C72" s="8"/>
      <c r="G72" s="8"/>
      <c r="K72" s="8">
        <f>IF(L72="","",VLOOKUP(L72,StatusMapping!A:B,2,FALSE))</f>
      </c>
    </row>
    <row r="73" spans="1:11" x14ac:dyDescent="0.25">
      <c r="A73" s="8"/>
      <c r="C73" s="8"/>
      <c r="G73" s="8"/>
      <c r="K73" s="8">
        <f>IF(L73="","",VLOOKUP(L73,StatusMapping!A:B,2,FALSE))</f>
      </c>
    </row>
    <row r="74" spans="1:11" x14ac:dyDescent="0.25">
      <c r="A74" s="8"/>
      <c r="C74" s="8"/>
      <c r="G74" s="8"/>
      <c r="K74" s="8">
        <f>IF(L74="","",VLOOKUP(L74,StatusMapping!A:B,2,FALSE))</f>
      </c>
    </row>
    <row r="75" spans="1:11" x14ac:dyDescent="0.25">
      <c r="A75" s="8"/>
      <c r="C75" s="8"/>
      <c r="G75" s="8"/>
      <c r="K75" s="8">
        <f>IF(L75="","",VLOOKUP(L75,StatusMapping!A:B,2,FALSE))</f>
      </c>
    </row>
    <row r="76" spans="1:11" x14ac:dyDescent="0.25">
      <c r="A76" s="8"/>
      <c r="C76" s="8"/>
      <c r="G76" s="8"/>
      <c r="K76" s="8">
        <f>IF(L76="","",VLOOKUP(L76,StatusMapping!A:B,2,FALSE))</f>
      </c>
    </row>
    <row r="77" spans="1:11" x14ac:dyDescent="0.25">
      <c r="A77" s="8"/>
      <c r="C77" s="8"/>
      <c r="G77" s="8"/>
      <c r="K77" s="8">
        <f>IF(L77="","",VLOOKUP(L77,StatusMapping!A:B,2,FALSE))</f>
      </c>
    </row>
    <row r="78" spans="1:11" x14ac:dyDescent="0.25">
      <c r="A78" s="8"/>
      <c r="C78" s="8"/>
      <c r="G78" s="8"/>
      <c r="K78" s="8">
        <f>IF(L78="","",VLOOKUP(L78,StatusMapping!A:B,2,FALSE))</f>
      </c>
    </row>
    <row r="79" spans="1:11" x14ac:dyDescent="0.25">
      <c r="A79" s="8"/>
      <c r="C79" s="8"/>
      <c r="G79" s="8"/>
      <c r="K79" s="8">
        <f>IF(L79="","",VLOOKUP(L79,StatusMapping!A:B,2,FALSE))</f>
      </c>
    </row>
    <row r="80" spans="1:11" x14ac:dyDescent="0.25">
      <c r="A80" s="8"/>
      <c r="C80" s="8"/>
      <c r="G80" s="8"/>
      <c r="K80" s="8">
        <f>IF(L80="","",VLOOKUP(L80,StatusMapping!A:B,2,FALSE))</f>
      </c>
    </row>
    <row r="81" spans="1:11" x14ac:dyDescent="0.25">
      <c r="A81" s="8"/>
      <c r="C81" s="8"/>
      <c r="G81" s="8"/>
      <c r="K81" s="8">
        <f>IF(L81="","",VLOOKUP(L81,StatusMapping!A:B,2,FALSE))</f>
      </c>
    </row>
    <row r="82" spans="1:11" x14ac:dyDescent="0.25">
      <c r="A82" s="8"/>
      <c r="C82" s="8"/>
      <c r="G82" s="8"/>
      <c r="K82" s="8">
        <f>IF(L82="","",VLOOKUP(L82,StatusMapping!A:B,2,FALSE))</f>
      </c>
    </row>
    <row r="83" spans="1:11" x14ac:dyDescent="0.25">
      <c r="A83" s="8"/>
      <c r="C83" s="8"/>
      <c r="G83" s="8"/>
      <c r="K83" s="8">
        <f>IF(L83="","",VLOOKUP(L83,StatusMapping!A:B,2,FALSE))</f>
      </c>
    </row>
    <row r="84" spans="1:11" x14ac:dyDescent="0.25">
      <c r="A84" s="8"/>
      <c r="C84" s="8"/>
      <c r="G84" s="8"/>
      <c r="K84" s="8">
        <f>IF(L84="","",VLOOKUP(L84,StatusMapping!A:B,2,FALSE))</f>
      </c>
    </row>
    <row r="85" spans="1:11" x14ac:dyDescent="0.25">
      <c r="A85" s="8"/>
      <c r="C85" s="8"/>
      <c r="G85" s="8"/>
      <c r="K85" s="8">
        <f>IF(L85="","",VLOOKUP(L85,StatusMapping!A:B,2,FALSE))</f>
      </c>
    </row>
    <row r="86" spans="1:11" x14ac:dyDescent="0.25">
      <c r="A86" s="8"/>
      <c r="C86" s="8"/>
      <c r="G86" s="8"/>
      <c r="K86" s="8">
        <f>IF(L86="","",VLOOKUP(L86,StatusMapping!A:B,2,FALSE))</f>
      </c>
    </row>
    <row r="87" spans="1:11" x14ac:dyDescent="0.25">
      <c r="A87" s="8"/>
      <c r="C87" s="8"/>
      <c r="G87" s="8"/>
      <c r="K87" s="8">
        <f>IF(L87="","",VLOOKUP(L87,StatusMapping!A:B,2,FALSE))</f>
      </c>
    </row>
    <row r="88" spans="1:11" x14ac:dyDescent="0.25">
      <c r="A88" s="8"/>
      <c r="C88" s="8"/>
      <c r="G88" s="8"/>
      <c r="K88" s="8">
        <f>IF(L88="","",VLOOKUP(L88,StatusMapping!A:B,2,FALSE))</f>
      </c>
    </row>
    <row r="89" spans="1:11" x14ac:dyDescent="0.25">
      <c r="A89" s="8"/>
      <c r="C89" s="8"/>
      <c r="G89" s="8"/>
      <c r="K89" s="8">
        <f>IF(L89="","",VLOOKUP(L89,StatusMapping!A:B,2,FALSE))</f>
      </c>
    </row>
    <row r="90" spans="1:11" x14ac:dyDescent="0.25">
      <c r="A90" s="8"/>
      <c r="C90" s="8"/>
      <c r="G90" s="8"/>
      <c r="K90" s="8">
        <f>IF(L90="","",VLOOKUP(L90,StatusMapping!A:B,2,FALSE))</f>
      </c>
    </row>
    <row r="91" spans="1:11" x14ac:dyDescent="0.25">
      <c r="A91" s="8"/>
      <c r="C91" s="8"/>
      <c r="G91" s="8"/>
      <c r="K91" s="8">
        <f>IF(L91="","",VLOOKUP(L91,StatusMapping!A:B,2,FALSE))</f>
      </c>
    </row>
    <row r="92" spans="1:11" x14ac:dyDescent="0.25">
      <c r="A92" s="8"/>
      <c r="C92" s="8"/>
      <c r="G92" s="8"/>
      <c r="K92" s="8">
        <f>IF(L92="","",VLOOKUP(L92,StatusMapping!A:B,2,FALSE))</f>
      </c>
    </row>
    <row r="93" spans="1:11" x14ac:dyDescent="0.25">
      <c r="A93" s="8"/>
      <c r="C93" s="8"/>
      <c r="G93" s="8"/>
      <c r="K93" s="8">
        <f>IF(L93="","",VLOOKUP(L93,StatusMapping!A:B,2,FALSE))</f>
      </c>
    </row>
    <row r="94" spans="1:11" x14ac:dyDescent="0.25">
      <c r="A94" s="8"/>
      <c r="C94" s="8"/>
      <c r="G94" s="8"/>
      <c r="K94" s="8">
        <f>IF(L94="","",VLOOKUP(L94,StatusMapping!A:B,2,FALSE))</f>
      </c>
    </row>
    <row r="95" spans="1:11" x14ac:dyDescent="0.25">
      <c r="A95" s="8"/>
      <c r="C95" s="8"/>
      <c r="G95" s="8"/>
      <c r="K95" s="8">
        <f>IF(L95="","",VLOOKUP(L95,StatusMapping!A:B,2,FALSE))</f>
      </c>
    </row>
    <row r="96" spans="1:11" x14ac:dyDescent="0.25">
      <c r="A96" s="8"/>
      <c r="C96" s="8"/>
      <c r="G96" s="8"/>
      <c r="K96" s="8">
        <f>IF(L96="","",VLOOKUP(L96,StatusMapping!A:B,2,FALSE))</f>
      </c>
    </row>
    <row r="97" spans="1:11" x14ac:dyDescent="0.25">
      <c r="A97" s="8"/>
      <c r="C97" s="8"/>
      <c r="G97" s="8"/>
      <c r="K97" s="8">
        <f>IF(L97="","",VLOOKUP(L97,StatusMapping!A:B,2,FALSE))</f>
      </c>
    </row>
    <row r="98" spans="1:11" x14ac:dyDescent="0.25">
      <c r="A98" s="8"/>
      <c r="C98" s="8"/>
      <c r="G98" s="8"/>
      <c r="K98" s="8">
        <f>IF(L98="","",VLOOKUP(L98,StatusMapping!A:B,2,FALSE))</f>
      </c>
    </row>
    <row r="99" spans="1:11" x14ac:dyDescent="0.25">
      <c r="A99" s="8"/>
      <c r="C99" s="8"/>
      <c r="G99" s="8"/>
      <c r="K99" s="8">
        <f>IF(L99="","",VLOOKUP(L99,StatusMapping!A:B,2,FALSE))</f>
      </c>
    </row>
    <row r="100" spans="1:11" x14ac:dyDescent="0.25">
      <c r="A100" s="8"/>
      <c r="C100" s="8"/>
      <c r="G100" s="8"/>
      <c r="K100" s="8">
        <f>IF(L100="","",VLOOKUP(L100,StatusMapping!A:B,2,FALSE))</f>
      </c>
    </row>
  </sheetData>
  <sheetProtection sheet="1" algorithmName="SHA-512" hashValue="ItfltYxOsDo3jd024WLoTshoM+RLc6zwGIV6Xe2AUnjDop5JK5PcLoQMs0su5RXu1Iprmv75rTLugAk19F09QA==" saltValue="zWhgUEJhKJjEiaTqcyEZmA==" spinCount="100000"/>
  <dataValidations count="8">
    <dataValidation type="list" allowBlank="1" sqref="B11">
      <formula1>"Main Board,Power Supply,CPU Module,Memory Module,Storage Device,Network Card,Display Panel,Battery Pack,Camera Module,Audio System,Cooling System,Power Circuit,Sensor Array,I/O Interface,Wireless Module,Motherboard,Graphics Card,Sound Card,USB Controller,Ethernet Port"</formula1>
    </dataValidation>
    <dataValidation type="list" allowBlank="1" sqref="D11">
      <formula1>"Resistor,Capacitor,IC Chip,Connector,PCB,Transformer"</formula1>
    </dataValidation>
    <dataValidation type="whole" operator="greaterThan" allowBlank="1" sqref="E11">
      <formula1>0</formula1>
    </dataValidation>
    <dataValidation type="list" allowBlank="1" sqref="F11">
      <formula1>"Top Side,Bottom Side,Internal,External"</formula1>
    </dataValidation>
    <dataValidation type="list" allowBlank="1" sqref="H11">
      <formula1>"Smartphone,Laptop,Tablet,Server,Router,Switch"</formula1>
    </dataValidation>
    <dataValidation type="list" allowBlank="1" sqref="I11">
      <formula1>"V1.0,V1.1,V2.0,V2.1,V2.2,V2.3,V2.4,V3.0,V3.1,V3.2,Latest,Stable"</formula1>
    </dataValidation>
    <dataValidation type="list" allowBlank="1" sqref="J11">
      <formula1>"Consumer Electronics,Enterprise,Industrial,Medical,Automotive"</formula1>
    </dataValidation>
    <dataValidation type="list" allowBlank="1" sqref="L11">
      <formula1>"Push,Pushed"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30</v>
      </c>
      <c r="B1" t="s">
        <v>135</v>
      </c>
    </row>
    <row r="2" spans="1:2" x14ac:dyDescent="0.25">
      <c r="A2" t="s">
        <v>40</v>
      </c>
      <c r="B2" t="s">
        <v>136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 Import Template</vt:lpstr>
      <vt:lpstr>StatusMapping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2025-11-03T09:23:21Z</dcterms:created>
  <dcterms:modified xsi:type="dcterms:W3CDTF">2025-11-03T09:23:21Z</dcterms:modified>
</cp:coreProperties>
</file>